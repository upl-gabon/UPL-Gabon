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Compte de résultat" sheetId="2" state="visible" r:id="rId2"/>
    <sheet name="Bilan 2025" sheetId="3" state="visible" r:id="rId3"/>
    <sheet name="Synthèse conducteur" sheetId="4" state="visible" r:id="rId4"/>
    <sheet name="Prévisions 2026-203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2A5B"/>
      <sz val="14"/>
    </font>
    <font>
      <name val="Calibri"/>
      <i val="1"/>
      <color rgb="006E6455"/>
      <sz val="9"/>
    </font>
    <font>
      <name val="Calibri"/>
      <b val="1"/>
      <color rgb="000B2A5B"/>
      <sz val="10.5"/>
    </font>
    <font>
      <name val="Calibri"/>
      <color rgb="0033383F"/>
      <sz val="10.5"/>
    </font>
    <font>
      <name val="Calibri"/>
      <b val="1"/>
      <color rgb="00FFFFFF"/>
      <sz val="10.5"/>
    </font>
  </fonts>
  <fills count="5">
    <fill>
      <patternFill/>
    </fill>
    <fill>
      <patternFill patternType="gray125"/>
    </fill>
    <fill>
      <patternFill patternType="solid">
        <fgColor rgb="00F7F0DC"/>
      </patternFill>
    </fill>
    <fill>
      <patternFill patternType="solid">
        <fgColor rgb="000B2A5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C58A"/>
      </left>
      <right style="thin">
        <color rgb="00D8C58A"/>
      </right>
      <top style="thin">
        <color rgb="00D8C58A"/>
      </top>
      <bottom style="thin">
        <color rgb="00D8C58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 ht="22" customHeight="1">
      <c r="A1" s="1" t="inlineStr">
        <is>
          <t>UPL — États financiers 2022-2025</t>
        </is>
      </c>
    </row>
    <row r="2">
      <c r="A2" s="2" t="inlineStr">
        <is>
          <t>Outil de reconstitution — Université Privée de Libreville — 31 août 2026</t>
        </is>
      </c>
    </row>
    <row r="4">
      <c r="B4" s="3" t="inlineStr">
        <is>
          <t>OBJET</t>
        </is>
      </c>
    </row>
    <row r="5" ht="42" customHeight="1">
      <c r="B5" s="4" t="inlineStr">
        <is>
          <t>Reconstituer les états financiers demandés par le conducteur d'échange ECOBANK : chiffre d'affaires et résultats sur trois exercices, détail des produits, actifs au 31/12/2025.</t>
        </is>
      </c>
    </row>
    <row r="7">
      <c r="B7" s="3" t="inlineStr">
        <is>
          <t>STATUT DES DONNÉES</t>
        </is>
      </c>
    </row>
    <row r="8" ht="42" customHeight="1">
      <c r="B8" s="4" t="inlineStr">
        <is>
          <t>2025 : reconstitué à partir du suivi interne (produits × prix publics, charges connues) — calé sur le dossier ECOBANK (CA 95,5 M ; résultat net 17,9 M). 2022 à 2024 : estimatifs, à consolider avec les relevés UGB.</t>
        </is>
      </c>
    </row>
    <row r="10">
      <c r="B10" s="3" t="inlineStr">
        <is>
          <t>CELLULES JAUNES</t>
        </is>
      </c>
    </row>
    <row r="11" ht="42" customHeight="1">
      <c r="B11" s="4" t="inlineStr">
        <is>
          <t>À saisir ou ajuster (auditeurs réels par promotion, trésorerie du relevé UGB, créances, dettes). Les totaux, l'EBE, l'IS et le résultat net se recalculent seuls.</t>
        </is>
      </c>
    </row>
    <row r="13">
      <c r="B13" s="3" t="inlineStr">
        <is>
          <t>ÉQUILIBRE DU BILAN</t>
        </is>
      </c>
    </row>
    <row r="14" ht="42" customHeight="1">
      <c r="B14" s="4" t="inlineStr">
        <is>
          <t>Saisissez la trésorerie réelle au 31/12/2025 : le report à nouveau s'ajuste automatiquement pour équilibrer actif = passif (dividendes versés / résultats conservés).</t>
        </is>
      </c>
    </row>
    <row r="16">
      <c r="B16" s="3" t="inlineStr">
        <is>
          <t>IMPÔTS</t>
        </is>
      </c>
    </row>
    <row r="17" ht="42" customHeight="1">
      <c r="B17" s="4" t="inlineStr">
        <is>
          <t>Impôt sur les sociétés appliqué à 30 %. Aucune dette financière sur la période. Matériel de faible valeur passé en charges (pas de dotation significative).</t>
        </is>
      </c>
    </row>
    <row r="19">
      <c r="B19" s="3" t="inlineStr">
        <is>
          <t>UTILISATION</t>
        </is>
      </c>
    </row>
    <row r="20" ht="42" customHeight="1">
      <c r="B20" s="4" t="inlineStr">
        <is>
          <t>Copier les totaux dans la section « Activités du client » du conducteur (tableau CA / résultat net) et la section « Principaux actifs ». Version imprimable dans le dossier bancaire, section « États financiers 2022-2025 ».</t>
        </is>
      </c>
    </row>
    <row r="22">
      <c r="B22" s="3" t="inlineStr">
        <is>
          <t>DIFFUSION</t>
        </is>
      </c>
    </row>
    <row r="23" ht="42" customHeight="1">
      <c r="B23" s="4" t="inlineStr">
        <is>
          <t>Document de travail de la direction — à relire avant toute remise extérieure.</t>
        </is>
      </c>
    </row>
  </sheetData>
  <mergeCells count="9">
    <mergeCell ref="B8"/>
    <mergeCell ref="A2:F2"/>
    <mergeCell ref="B17"/>
    <mergeCell ref="A1:F1"/>
    <mergeCell ref="B11"/>
    <mergeCell ref="B20"/>
    <mergeCell ref="B5"/>
    <mergeCell ref="B14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</cols>
  <sheetData>
    <row r="1" ht="22" customHeight="1">
      <c r="A1" s="1" t="inlineStr">
        <is>
          <t>Compte de résultat 2022-2025</t>
        </is>
      </c>
    </row>
    <row r="2">
      <c r="A2" s="2" t="inlineStr">
        <is>
          <t>2022 à 2024 estimatifs — 2025 reconstitué (FCFA)</t>
        </is>
      </c>
    </row>
    <row r="4">
      <c r="A4" s="5" t="inlineStr">
        <is>
          <t>Rubrique</t>
        </is>
      </c>
      <c r="B4" s="5" t="inlineStr">
        <is>
          <t>2022 (est.)</t>
        </is>
      </c>
      <c r="C4" s="5" t="inlineStr">
        <is>
          <t>2023 (est.)</t>
        </is>
      </c>
      <c r="D4" s="5" t="inlineStr">
        <is>
          <t>2024 (est.)</t>
        </is>
      </c>
      <c r="E4" s="5" t="inlineStr">
        <is>
          <t>2025</t>
        </is>
      </c>
      <c r="F4" s="5" t="inlineStr">
        <is>
          <t>Source / note</t>
        </is>
      </c>
    </row>
    <row r="5">
      <c r="A5" s="6" t="inlineStr">
        <is>
          <t>Executive MBA — auditeurs (saisie)</t>
        </is>
      </c>
      <c r="B5" s="7" t="n">
        <v>16</v>
      </c>
      <c r="C5" s="7" t="n">
        <v>18</v>
      </c>
      <c r="D5" s="7" t="n">
        <v>19</v>
      </c>
      <c r="E5" s="7" t="n">
        <v>20</v>
      </c>
      <c r="F5" s="8" t="inlineStr">
        <is>
          <t>Promotions réelles à confirmer</t>
        </is>
      </c>
    </row>
    <row r="6">
      <c r="A6" s="6" t="inlineStr">
        <is>
          <t>Prix moyen du MBA (FCFA)</t>
        </is>
      </c>
      <c r="B6" s="7" t="n">
        <v>4000000</v>
      </c>
      <c r="C6" s="7" t="n">
        <v>4000000</v>
      </c>
      <c r="D6" s="7" t="n">
        <v>4000000</v>
      </c>
      <c r="E6" s="7" t="n">
        <v>4000000</v>
      </c>
      <c r="F6" s="8" t="inlineStr">
        <is>
          <t>Grille publique UPL</t>
        </is>
      </c>
    </row>
    <row r="7">
      <c r="A7" s="6" t="inlineStr">
        <is>
          <t>CA Executive MBA</t>
        </is>
      </c>
      <c r="B7" s="7">
        <f>B5*B6</f>
        <v/>
      </c>
      <c r="C7" s="7">
        <f>C5*C6</f>
        <v/>
      </c>
      <c r="D7" s="7">
        <f>D5*D6</f>
        <v/>
      </c>
      <c r="E7" s="7">
        <f>E5*E6</f>
        <v/>
      </c>
      <c r="F7" s="8" t="inlineStr">
        <is>
          <t>Auditeurs × prix</t>
        </is>
      </c>
    </row>
    <row r="8">
      <c r="A8" s="6" t="inlineStr">
        <is>
          <t>CA VAE</t>
        </is>
      </c>
      <c r="B8" s="7" t="n">
        <v>1500000</v>
      </c>
      <c r="C8" s="7" t="n">
        <v>4000000</v>
      </c>
      <c r="D8" s="7" t="n">
        <v>2000000</v>
      </c>
      <c r="E8" s="7" t="n">
        <v>7500000</v>
      </c>
      <c r="F8" s="8" t="inlineStr">
        <is>
          <t>Dossiers suivis</t>
        </is>
      </c>
    </row>
    <row r="9">
      <c r="A9" s="6" t="inlineStr">
        <is>
          <t>CA accompagnement et conseil</t>
        </is>
      </c>
      <c r="B9" s="7" t="n">
        <v>1000000</v>
      </c>
      <c r="C9" s="7" t="n">
        <v>2500000</v>
      </c>
      <c r="D9" s="7" t="n">
        <v>1000000</v>
      </c>
      <c r="E9" s="7" t="n">
        <v>6000000</v>
      </c>
      <c r="F9" s="8" t="inlineStr">
        <is>
          <t>Prestations</t>
        </is>
      </c>
    </row>
    <row r="10">
      <c r="A10" s="6" t="inlineStr">
        <is>
          <t>CA frais de dossier et inscription</t>
        </is>
      </c>
      <c r="B10" s="7" t="n">
        <v>500000</v>
      </c>
      <c r="C10" s="7" t="n">
        <v>1500000</v>
      </c>
      <c r="D10" s="7" t="n">
        <v>1000000</v>
      </c>
      <c r="E10" s="7" t="n">
        <v>2000000</v>
      </c>
      <c r="F10" s="8" t="inlineStr">
        <is>
          <t>Inscriptions</t>
        </is>
      </c>
    </row>
    <row r="11">
      <c r="A11" s="9" t="inlineStr">
        <is>
          <t>CHIFFRE D'AFFAIRES</t>
        </is>
      </c>
      <c r="B11" s="10">
        <f>SUM(B7:B10)</f>
        <v/>
      </c>
      <c r="C11" s="10">
        <f>SUM(C7:C10)</f>
        <v/>
      </c>
      <c r="D11" s="10">
        <f>SUM(D7:D10)</f>
        <v/>
      </c>
      <c r="E11" s="10">
        <f>SUM(E7:E10)</f>
        <v/>
      </c>
      <c r="F11" s="11" t="inlineStr"/>
    </row>
    <row r="12">
      <c r="A12" s="6" t="inlineStr">
        <is>
          <t>Enseignants vacataires</t>
        </is>
      </c>
      <c r="B12" s="7" t="n">
        <v>-22000000</v>
      </c>
      <c r="C12" s="7" t="n">
        <v>-38000000</v>
      </c>
      <c r="D12" s="7" t="n">
        <v>-36000000</v>
      </c>
      <c r="E12" s="7" t="n">
        <v>-38000000</v>
      </c>
      <c r="F12" s="8" t="inlineStr">
        <is>
          <t>Vacataires, incl. missions ESSEC Douala</t>
        </is>
      </c>
    </row>
    <row r="13">
      <c r="A13" s="6" t="inlineStr">
        <is>
          <t>Loyer et charges du site</t>
        </is>
      </c>
      <c r="B13" s="7" t="n">
        <v>-7200000</v>
      </c>
      <c r="C13" s="7" t="n">
        <v>-7800000</v>
      </c>
      <c r="D13" s="7" t="n">
        <v>-8400000</v>
      </c>
      <c r="E13" s="7" t="n">
        <v>-9000000</v>
      </c>
      <c r="F13" s="8" t="inlineStr">
        <is>
          <t>Sablière — mensuel</t>
        </is>
      </c>
    </row>
    <row r="14">
      <c r="A14" s="6" t="inlineStr">
        <is>
          <t>Rémunérations et charges sociales</t>
        </is>
      </c>
      <c r="B14" s="7" t="n">
        <v>-4800000</v>
      </c>
      <c r="C14" s="7" t="n">
        <v>-5400000</v>
      </c>
      <c r="D14" s="7" t="n">
        <v>-6000000</v>
      </c>
      <c r="E14" s="7" t="n">
        <v>-7200000</v>
      </c>
      <c r="F14" s="8" t="inlineStr">
        <is>
          <t>Secrétariat</t>
        </is>
      </c>
    </row>
    <row r="15">
      <c r="A15" s="6" t="inlineStr">
        <is>
          <t>Communication</t>
        </is>
      </c>
      <c r="B15" s="7" t="n">
        <v>-2000000</v>
      </c>
      <c r="C15" s="7" t="n">
        <v>-3000000</v>
      </c>
      <c r="D15" s="7" t="n">
        <v>-2500000</v>
      </c>
      <c r="E15" s="7" t="n">
        <v>-4700000</v>
      </c>
      <c r="F15" s="8" t="inlineStr">
        <is>
          <t>Campagnes, supports</t>
        </is>
      </c>
    </row>
    <row r="16">
      <c r="A16" s="6" t="inlineStr">
        <is>
          <t>Déplacements et missions</t>
        </is>
      </c>
      <c r="B16" s="7" t="n">
        <v>-1500000</v>
      </c>
      <c r="C16" s="7" t="n">
        <v>-2000000</v>
      </c>
      <c r="D16" s="7" t="n">
        <v>-2000000</v>
      </c>
      <c r="E16" s="7" t="n">
        <v>-2500000</v>
      </c>
      <c r="F16" s="8" t="inlineStr">
        <is>
          <t>Douala, intérieur</t>
        </is>
      </c>
    </row>
    <row r="17">
      <c r="A17" s="6" t="inlineStr">
        <is>
          <t>Frais généraux, honoraires, assurances</t>
        </is>
      </c>
      <c r="B17" s="7" t="n">
        <v>-3500000</v>
      </c>
      <c r="C17" s="7" t="n">
        <v>-5800000</v>
      </c>
      <c r="D17" s="7" t="n">
        <v>-5100000</v>
      </c>
      <c r="E17" s="7" t="n">
        <v>-8500000</v>
      </c>
      <c r="F17" s="8" t="inlineStr"/>
    </row>
    <row r="18">
      <c r="A18" s="6" t="inlineStr">
        <is>
          <t>Frais d'établissement (lancement)</t>
        </is>
      </c>
      <c r="B18" s="7" t="n">
        <v>-14000000</v>
      </c>
      <c r="C18" s="7" t="n">
        <v>0</v>
      </c>
      <c r="D18" s="7" t="n">
        <v>0</v>
      </c>
      <c r="E18" s="7" t="n">
        <v>0</v>
      </c>
      <c r="F18" s="8" t="inlineStr">
        <is>
          <t>2022 uniquement : agréments, lancement</t>
        </is>
      </c>
    </row>
    <row r="19">
      <c r="A19" s="9" t="inlineStr">
        <is>
          <t>TOTAL CHARGES D'EXPLOITATION</t>
        </is>
      </c>
      <c r="B19" s="10">
        <f>SUM(B12:B18)</f>
        <v/>
      </c>
      <c r="C19" s="10">
        <f>SUM(C12:C18)</f>
        <v/>
      </c>
      <c r="D19" s="10">
        <f>SUM(D12:D18)</f>
        <v/>
      </c>
      <c r="E19" s="10">
        <f>SUM(E12:E18)</f>
        <v/>
      </c>
      <c r="F19" s="11" t="inlineStr"/>
    </row>
    <row r="20">
      <c r="A20" s="9" t="inlineStr">
        <is>
          <t>EXCÉDENT BRUT D'EXPLOITATION</t>
        </is>
      </c>
      <c r="B20" s="10">
        <f>B11+B19</f>
        <v/>
      </c>
      <c r="C20" s="10">
        <f>C11+C19</f>
        <v/>
      </c>
      <c r="D20" s="10">
        <f>D11+D19</f>
        <v/>
      </c>
      <c r="E20" s="10">
        <f>E11+E19</f>
        <v/>
      </c>
      <c r="F20" s="11" t="inlineStr">
        <is>
          <t>CA − charges (pas de dotation : matériel en charges)</t>
        </is>
      </c>
    </row>
    <row r="21">
      <c r="A21" s="6" t="inlineStr">
        <is>
          <t>Charges financières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8" t="inlineStr">
        <is>
          <t>Aucune dette sur la période</t>
        </is>
      </c>
    </row>
    <row r="22">
      <c r="A22" s="6" t="inlineStr">
        <is>
          <t>Impôt sur les sociétés (30 %)</t>
        </is>
      </c>
      <c r="B22" s="7">
        <f>-ROUND(B20*0.3,-5)</f>
        <v/>
      </c>
      <c r="C22" s="7">
        <f>-ROUND(C20*0.3,-5)</f>
        <v/>
      </c>
      <c r="D22" s="7">
        <f>-ROUND(D20*0.3,-5)</f>
        <v/>
      </c>
      <c r="E22" s="7">
        <f>-ROUND(E20*0.3,-5)</f>
        <v/>
      </c>
      <c r="F22" s="8" t="inlineStr">
        <is>
          <t>Taux 2026</t>
        </is>
      </c>
    </row>
    <row r="23">
      <c r="A23" s="9" t="inlineStr">
        <is>
          <t>RÉSULTAT NET</t>
        </is>
      </c>
      <c r="B23" s="10">
        <f>B20+B22</f>
        <v/>
      </c>
      <c r="C23" s="10">
        <f>C20+C22</f>
        <v/>
      </c>
      <c r="D23" s="10">
        <f>D20+D22</f>
        <v/>
      </c>
      <c r="E23" s="10">
        <f>E20+E22</f>
        <v/>
      </c>
      <c r="F23" s="11" t="inlineStr">
        <is>
          <t>2025 = 17,9 M (calé sur le dossier ECOBANK)</t>
        </is>
      </c>
    </row>
    <row r="25">
      <c r="A25" s="2" t="inlineStr">
        <is>
          <t>Contrôle : 2025 → CA 95 500 000 ; EBE 25 600 000 ; résultat net 17 900 000 (conducteur ECOBANK et annexe financière).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</cols>
  <sheetData>
    <row r="1" ht="22" customHeight="1">
      <c r="A1" s="1" t="inlineStr">
        <is>
          <t>Bilan au 31 décembre 2025 (reconstitué)</t>
        </is>
      </c>
    </row>
    <row r="2">
      <c r="A2" s="2" t="inlineStr">
        <is>
          <t>Saisir les cellules jaunes d'après le relevé UGB — le report à nouveau équilibre seul (FCFA)</t>
        </is>
      </c>
    </row>
    <row r="4">
      <c r="A4" s="5" t="inlineStr">
        <is>
          <t>ACTIF</t>
        </is>
      </c>
      <c r="B4" s="5" t="inlineStr">
        <is>
          <t>Montant</t>
        </is>
      </c>
      <c r="C4" s="5" t="inlineStr">
        <is>
          <t>Note</t>
        </is>
      </c>
    </row>
    <row r="5">
      <c r="A5" s="6" t="inlineStr">
        <is>
          <t>Aménagements et équipements pédagogiques (brut)</t>
        </is>
      </c>
      <c r="B5" s="12" t="n">
        <v>14000000</v>
      </c>
      <c r="C5" s="8" t="inlineStr">
        <is>
          <t>Inventaire pédagogique 2022-2025</t>
        </is>
      </c>
    </row>
    <row r="6">
      <c r="A6" s="6" t="inlineStr">
        <is>
          <t>Amortissements cumulés</t>
        </is>
      </c>
      <c r="B6" s="12" t="n">
        <v>-2100000</v>
      </c>
      <c r="C6" s="8" t="inlineStr">
        <is>
          <t>Linéaire — estimation</t>
        </is>
      </c>
    </row>
    <row r="7">
      <c r="A7" s="6" t="inlineStr">
        <is>
          <t>Immobilisations nettes</t>
        </is>
      </c>
      <c r="B7" s="7">
        <f>B5+B6</f>
        <v/>
      </c>
      <c r="C7" s="8" t="inlineStr"/>
    </row>
    <row r="8">
      <c r="A8" s="6" t="inlineStr">
        <is>
          <t>Créances étudiants</t>
        </is>
      </c>
      <c r="B8" s="12" t="n">
        <v>8000000</v>
      </c>
      <c r="C8" s="8" t="inlineStr">
        <is>
          <t>≈ 10 % du CA MBA — état des créances joint</t>
        </is>
      </c>
    </row>
    <row r="9">
      <c r="A9" s="6" t="inlineStr">
        <is>
          <t>Trésorerie (compte UGB au 31/12/2025)</t>
        </is>
      </c>
      <c r="B9" s="12" t="n">
        <v>19500000</v>
      </c>
      <c r="C9" s="8" t="inlineStr">
        <is>
          <t>SAISIR le solde réel du relevé</t>
        </is>
      </c>
    </row>
    <row r="10">
      <c r="A10" s="9" t="inlineStr">
        <is>
          <t>TOTAL ACTIF</t>
        </is>
      </c>
      <c r="B10" s="10">
        <f>B7+B8+B9</f>
        <v/>
      </c>
      <c r="C10" s="11" t="inlineStr"/>
    </row>
    <row r="12">
      <c r="A12" s="5" t="inlineStr">
        <is>
          <t>PASSIF</t>
        </is>
      </c>
      <c r="B12" s="5" t="inlineStr">
        <is>
          <t>Montant</t>
        </is>
      </c>
      <c r="C12" s="5" t="inlineStr">
        <is>
          <t>Note</t>
        </is>
      </c>
    </row>
    <row r="13">
      <c r="A13" s="6" t="inlineStr">
        <is>
          <t>Capital social</t>
        </is>
      </c>
      <c r="B13" s="7" t="n">
        <v>20000000</v>
      </c>
      <c r="C13" s="8" t="inlineStr">
        <is>
          <t>Entièrement libéré — famille 100 %</t>
        </is>
      </c>
    </row>
    <row r="14">
      <c r="A14" s="6" t="inlineStr">
        <is>
          <t>Report à nouveau (équilibre automatique)</t>
        </is>
      </c>
      <c r="B14" s="7">
        <f>B10-B13-B15-B16</f>
        <v/>
      </c>
      <c r="C14" s="8" t="inlineStr">
        <is>
          <t>Résultats antérieurs distribués / conservés</t>
        </is>
      </c>
    </row>
    <row r="15">
      <c r="A15" s="6" t="inlineStr">
        <is>
          <t>Résultat net 2025</t>
        </is>
      </c>
      <c r="B15" s="7">
        <f>'Compte de résultat'!E23</f>
        <v/>
      </c>
      <c r="C15" s="8" t="inlineStr">
        <is>
          <t>Lié au compte de résultat</t>
        </is>
      </c>
    </row>
    <row r="16">
      <c r="A16" s="6" t="inlineStr">
        <is>
          <t>Dettes fournisseurs et sociales</t>
        </is>
      </c>
      <c r="B16" s="12" t="n">
        <v>1400000</v>
      </c>
      <c r="C16" s="8" t="inlineStr">
        <is>
          <t>SAISIR le réel</t>
        </is>
      </c>
    </row>
    <row r="17">
      <c r="A17" s="9" t="inlineStr">
        <is>
          <t>TOTAL PASSIF</t>
        </is>
      </c>
      <c r="B17" s="10">
        <f>B13+B14+B15+B16</f>
        <v/>
      </c>
      <c r="C17" s="11" t="inlineStr"/>
    </row>
    <row r="19">
      <c r="A19" s="13" t="inlineStr">
        <is>
          <t>Contrôle de cohérence : TOTAL ACTIF = TOTAL PASSIF</t>
        </is>
      </c>
    </row>
    <row r="20">
      <c r="A20" s="2">
        <f>IF(B10=B17,"ÉQUILIBRE — actif = passif","ÉCART — vérifier les saisies")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Synthèse — sections chiffrées du conducteur ECOBANK</t>
        </is>
      </c>
    </row>
    <row r="2">
      <c r="A2" s="2" t="inlineStr">
        <is>
          <t>Valeurs à reporter dans « Activités du client » et « Principaux actifs »</t>
        </is>
      </c>
    </row>
    <row r="4">
      <c r="A4" s="5" t="inlineStr">
        <is>
          <t>Tableau des trois derniers exercices</t>
        </is>
      </c>
      <c r="B4" s="5" t="inlineStr">
        <is>
          <t>2023</t>
        </is>
      </c>
      <c r="C4" s="5" t="inlineStr">
        <is>
          <t>2024</t>
        </is>
      </c>
      <c r="D4" s="5" t="inlineStr">
        <is>
          <t>2025</t>
        </is>
      </c>
    </row>
    <row r="5">
      <c r="A5" s="6" t="inlineStr">
        <is>
          <t>Chiffre d'affaires (FCFA)</t>
        </is>
      </c>
      <c r="B5" s="8" t="inlineStr">
        <is>
          <t>≈ 80 000 000</t>
        </is>
      </c>
      <c r="C5" s="8" t="inlineStr">
        <is>
          <t>≈ 80 000 000</t>
        </is>
      </c>
      <c r="D5" s="8" t="inlineStr">
        <is>
          <t>95 500 000</t>
        </is>
      </c>
    </row>
    <row r="6">
      <c r="A6" s="6" t="inlineStr">
        <is>
          <t>Résultat net (FCFA)</t>
        </is>
      </c>
      <c r="B6" s="8" t="inlineStr">
        <is>
          <t>≈ 12 600 000</t>
        </is>
      </c>
      <c r="C6" s="8" t="inlineStr">
        <is>
          <t>≈ 14 000 000</t>
        </is>
      </c>
      <c r="D6" s="8" t="inlineStr">
        <is>
          <t>17 900 000</t>
        </is>
      </c>
    </row>
    <row r="7">
      <c r="A7" s="6" t="inlineStr">
        <is>
          <t>Note</t>
        </is>
      </c>
      <c r="B7" s="8" t="inlineStr">
        <is>
          <t>2023-2024 estimatifs — états détaillés en annexe « États financiers 2022-2025 »</t>
        </is>
      </c>
      <c r="C7" s="8" t="inlineStr"/>
      <c r="D7" s="8" t="inlineStr"/>
    </row>
    <row r="9">
      <c r="A9" s="5" t="inlineStr">
        <is>
          <t>Produits — part du CA 2025</t>
        </is>
      </c>
      <c r="B9" s="5" t="inlineStr">
        <is>
          <t>Part</t>
        </is>
      </c>
      <c r="C9" s="5" t="inlineStr">
        <is>
          <t>Montant (FCFA)</t>
        </is>
      </c>
      <c r="D9" s="5" t="inlineStr"/>
    </row>
    <row r="10">
      <c r="A10" s="6" t="inlineStr">
        <is>
          <t>Executive MBA (20 auditeurs × 4 000 000)</t>
        </is>
      </c>
      <c r="B10" s="8" t="inlineStr">
        <is>
          <t>83,8 %</t>
        </is>
      </c>
      <c r="C10" s="8" t="inlineStr">
        <is>
          <t>80 000 000</t>
        </is>
      </c>
      <c r="D10" s="8" t="inlineStr"/>
    </row>
    <row r="11">
      <c r="A11" s="6" t="inlineStr">
        <is>
          <t>Validation des acquis de l'expérience (VAE)</t>
        </is>
      </c>
      <c r="B11" s="8" t="inlineStr">
        <is>
          <t>7,9 %</t>
        </is>
      </c>
      <c r="C11" s="8" t="inlineStr">
        <is>
          <t>7 500 000</t>
        </is>
      </c>
      <c r="D11" s="8" t="inlineStr"/>
    </row>
    <row r="12">
      <c r="A12" s="6" t="inlineStr">
        <is>
          <t>Accompagnement et conseil</t>
        </is>
      </c>
      <c r="B12" s="8" t="inlineStr">
        <is>
          <t>6,3 %</t>
        </is>
      </c>
      <c r="C12" s="8" t="inlineStr">
        <is>
          <t>6 000 000</t>
        </is>
      </c>
      <c r="D12" s="8" t="inlineStr"/>
    </row>
    <row r="13">
      <c r="A13" s="6" t="inlineStr">
        <is>
          <t>Frais de dossier et d'inscription</t>
        </is>
      </c>
      <c r="B13" s="8" t="inlineStr">
        <is>
          <t>2,1 %</t>
        </is>
      </c>
      <c r="C13" s="8" t="inlineStr">
        <is>
          <t>2 000 000</t>
        </is>
      </c>
      <c r="D13" s="8" t="inlineStr"/>
    </row>
    <row r="14">
      <c r="A14" s="9" t="inlineStr">
        <is>
          <t>TOTAL CA RÉCURRENT 2025</t>
        </is>
      </c>
      <c r="B14" s="11" t="inlineStr">
        <is>
          <t>100 %</t>
        </is>
      </c>
      <c r="C14" s="11" t="inlineStr">
        <is>
          <t>95 500 000</t>
        </is>
      </c>
      <c r="D14" s="11" t="inlineStr"/>
    </row>
    <row r="16">
      <c r="A16" s="5" t="inlineStr">
        <is>
          <t>Principaux actifs au 31/12/2025</t>
        </is>
      </c>
      <c r="B16" s="5" t="inlineStr">
        <is>
          <t>Valeur</t>
        </is>
      </c>
      <c r="C16" s="5" t="inlineStr">
        <is>
          <t>Nantissement</t>
        </is>
      </c>
      <c r="D16" s="5" t="inlineStr"/>
    </row>
    <row r="17">
      <c r="A17" s="6" t="inlineStr">
        <is>
          <t>Aménagements et équipements pédagogiques (brut)</t>
        </is>
      </c>
      <c r="B17" s="8" t="inlineStr">
        <is>
          <t>14 000 000</t>
        </is>
      </c>
      <c r="C17" s="8" t="inlineStr">
        <is>
          <t>Non</t>
        </is>
      </c>
      <c r="D17" s="8" t="inlineStr"/>
    </row>
    <row r="18">
      <c r="A18" s="6" t="inlineStr">
        <is>
          <t>Créances étudiants</t>
        </is>
      </c>
      <c r="B18" s="8" t="inlineStr">
        <is>
          <t>8 000 000</t>
        </is>
      </c>
      <c r="C18" s="8" t="inlineStr">
        <is>
          <t>Non</t>
        </is>
      </c>
      <c r="D18" s="8" t="inlineStr"/>
    </row>
    <row r="19">
      <c r="A19" s="6" t="inlineStr">
        <is>
          <t>Trésorerie (compte UGB)</t>
        </is>
      </c>
      <c r="B19" s="8" t="inlineStr">
        <is>
          <t>19 500 000</t>
        </is>
      </c>
      <c r="C19" s="8" t="inlineStr">
        <is>
          <t>Non</t>
        </is>
      </c>
      <c r="D19" s="8" t="inlineStr"/>
    </row>
    <row r="20">
      <c r="A20" s="6" t="inlineStr">
        <is>
          <t>Convention ESSEC de Douala</t>
        </is>
      </c>
      <c r="B20" s="8" t="inlineStr">
        <is>
          <t>Actif immatériel non valorisé</t>
        </is>
      </c>
      <c r="C20" s="8" t="inlineStr">
        <is>
          <t>Non</t>
        </is>
      </c>
      <c r="D20" s="8" t="inlineStr"/>
    </row>
    <row r="21">
      <c r="A21" s="6" t="inlineStr">
        <is>
          <t>Bâtiment R+2 en cours (devis ferme)</t>
        </is>
      </c>
      <c r="B21" s="8" t="inlineStr">
        <is>
          <t>219 972 060 TTC</t>
        </is>
      </c>
      <c r="C21" s="8" t="inlineStr">
        <is>
          <t>À constituer</t>
        </is>
      </c>
      <c r="D21" s="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Prévisions 2026-2030 — dossier ECOBANK</t>
        </is>
      </c>
    </row>
    <row r="2">
      <c r="A2" s="2" t="inlineStr">
        <is>
          <t>Hypothèses mesurées ; MBA 20 à 32 auditeurs ; neuf salles livrées sous deux mois</t>
        </is>
      </c>
    </row>
    <row r="4">
      <c r="A4" s="5" t="inlineStr">
        <is>
          <t>Indicateur</t>
        </is>
      </c>
      <c r="B4" s="5" t="inlineStr">
        <is>
          <t>2026</t>
        </is>
      </c>
      <c r="C4" s="5" t="inlineStr">
        <is>
          <t>2027</t>
        </is>
      </c>
      <c r="D4" s="5" t="inlineStr">
        <is>
          <t>2028</t>
        </is>
      </c>
      <c r="E4" s="5" t="inlineStr">
        <is>
          <t>2029</t>
        </is>
      </c>
      <c r="F4" s="5" t="inlineStr">
        <is>
          <t>2030</t>
        </is>
      </c>
    </row>
    <row r="5">
      <c r="A5" s="6" t="inlineStr">
        <is>
          <t>Effectifs UPL</t>
        </is>
      </c>
      <c r="B5" s="8" t="inlineStr">
        <is>
          <t>80</t>
        </is>
      </c>
      <c r="C5" s="8" t="inlineStr">
        <is>
          <t>120</t>
        </is>
      </c>
      <c r="D5" s="8" t="inlineStr">
        <is>
          <t>170</t>
        </is>
      </c>
      <c r="E5" s="8" t="inlineStr">
        <is>
          <t>210</t>
        </is>
      </c>
      <c r="F5" s="8" t="inlineStr">
        <is>
          <t>230</t>
        </is>
      </c>
    </row>
    <row r="6">
      <c r="A6" s="6" t="inlineStr">
        <is>
          <t>Chiffre d'affaires (M FCFA)</t>
        </is>
      </c>
      <c r="B6" s="8" t="inlineStr">
        <is>
          <t>119,5</t>
        </is>
      </c>
      <c r="C6" s="8" t="inlineStr">
        <is>
          <t>164,0</t>
        </is>
      </c>
      <c r="D6" s="8" t="inlineStr">
        <is>
          <t>206,9</t>
        </is>
      </c>
      <c r="E6" s="8" t="inlineStr">
        <is>
          <t>242,8</t>
        </is>
      </c>
      <c r="F6" s="8" t="inlineStr">
        <is>
          <t>252,8</t>
        </is>
      </c>
    </row>
    <row r="7">
      <c r="A7" s="6" t="inlineStr">
        <is>
          <t>EBE (M FCFA)</t>
        </is>
      </c>
      <c r="B7" s="8" t="inlineStr">
        <is>
          <t>50,0</t>
        </is>
      </c>
      <c r="C7" s="8" t="inlineStr">
        <is>
          <t>79,0</t>
        </is>
      </c>
      <c r="D7" s="8" t="inlineStr">
        <is>
          <t>106,0</t>
        </is>
      </c>
      <c r="E7" s="8" t="inlineStr">
        <is>
          <t>127,0</t>
        </is>
      </c>
      <c r="F7" s="8" t="inlineStr">
        <is>
          <t>132,0</t>
        </is>
      </c>
    </row>
    <row r="8">
      <c r="A8" s="6" t="inlineStr">
        <is>
          <t>Dotations (M FCFA)</t>
        </is>
      </c>
      <c r="B8" s="8" t="inlineStr">
        <is>
          <t>10,0</t>
        </is>
      </c>
      <c r="C8" s="8" t="inlineStr">
        <is>
          <t>17,5</t>
        </is>
      </c>
      <c r="D8" s="8" t="inlineStr">
        <is>
          <t>17,5</t>
        </is>
      </c>
      <c r="E8" s="8" t="inlineStr">
        <is>
          <t>17,5</t>
        </is>
      </c>
      <c r="F8" s="8" t="inlineStr">
        <is>
          <t>17,5</t>
        </is>
      </c>
    </row>
    <row r="9">
      <c r="A9" s="6" t="inlineStr">
        <is>
          <t>Résultat net (M FCFA)</t>
        </is>
      </c>
      <c r="B9" s="8" t="inlineStr">
        <is>
          <t>27,5</t>
        </is>
      </c>
      <c r="C9" s="8" t="inlineStr">
        <is>
          <t>35,0</t>
        </is>
      </c>
      <c r="D9" s="8" t="inlineStr">
        <is>
          <t>58,0</t>
        </is>
      </c>
      <c r="E9" s="8" t="inlineStr">
        <is>
          <t>76,0</t>
        </is>
      </c>
      <c r="F9" s="8" t="inlineStr">
        <is>
          <t>82,5</t>
        </is>
      </c>
    </row>
    <row r="10">
      <c r="A10" s="6" t="inlineStr">
        <is>
          <t>CAF (M FCFA)</t>
        </is>
      </c>
      <c r="B10" s="8" t="inlineStr">
        <is>
          <t>33,5</t>
        </is>
      </c>
      <c r="C10" s="8" t="inlineStr">
        <is>
          <t>42,3</t>
        </is>
      </c>
      <c r="D10" s="8" t="inlineStr">
        <is>
          <t>62,1</t>
        </is>
      </c>
      <c r="E10" s="8" t="inlineStr">
        <is>
          <t>78,1</t>
        </is>
      </c>
      <c r="F10" s="8" t="inlineStr">
        <is>
          <t>83,2</t>
        </is>
      </c>
    </row>
    <row r="11">
      <c r="A11" s="6" t="inlineStr">
        <is>
          <t>Service de la dette (M FCFA)</t>
        </is>
      </c>
      <c r="B11" s="8" t="inlineStr">
        <is>
          <t>6,5</t>
        </is>
      </c>
      <c r="C11" s="8" t="inlineStr">
        <is>
          <t>30,5</t>
        </is>
      </c>
      <c r="D11" s="8" t="inlineStr">
        <is>
          <t>43,9</t>
        </is>
      </c>
      <c r="E11" s="8" t="inlineStr">
        <is>
          <t>43,9</t>
        </is>
      </c>
      <c r="F11" s="8" t="inlineStr">
        <is>
          <t>43,9</t>
        </is>
      </c>
    </row>
    <row r="12">
      <c r="A12" s="6" t="inlineStr">
        <is>
          <t>DSCR (CAF / dette)</t>
        </is>
      </c>
      <c r="B12" s="8" t="inlineStr">
        <is>
          <t>5,15 x</t>
        </is>
      </c>
      <c r="C12" s="8" t="inlineStr">
        <is>
          <t>1,39 x</t>
        </is>
      </c>
      <c r="D12" s="8" t="inlineStr">
        <is>
          <t>1,41 x</t>
        </is>
      </c>
      <c r="E12" s="8" t="inlineStr">
        <is>
          <t>1,78 x</t>
        </is>
      </c>
      <c r="F12" s="8" t="inlineStr">
        <is>
          <t>1,90 x</t>
        </is>
      </c>
    </row>
    <row r="14">
      <c r="A14" s="13" t="inlineStr">
        <is>
          <t xml:space="preserve">Crédit : 260 000 000 FCFA — 120 mois dont 12 de différé de capital — taux indicatif 10 % — </t>
        </is>
      </c>
    </row>
    <row r="15">
      <c r="A15" s="13" t="inlineStr">
        <is>
          <t>mensualité en différé 2 166 667 FCFA (intérêts seuls) ; en régime 3 660 458 FCFA ; coût total ≈ 421,3 M FCFA.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2026-08-31T14:32:21Z</dcterms:created>
  <dcterms:modified xsi:type="dcterms:W3CDTF">2026-08-31T14:32:21Z</dcterms:modified>
</cp:coreProperties>
</file>